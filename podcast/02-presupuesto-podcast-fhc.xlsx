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ámetros" sheetId="1" state="visible" r:id="rId1"/>
    <sheet name="CAPEX" sheetId="2" state="visible" r:id="rId2"/>
    <sheet name="OPEX" sheetId="3" state="visible" r:id="rId3"/>
    <sheet name="Resumen" sheetId="4" state="visible" r:id="rId4"/>
    <sheet name="Cronograma" sheetId="5" state="visible" r:id="rId5"/>
    <sheet name="Horas interna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&quot;USD &quot;#,##0"/>
    <numFmt numFmtId="165" formatCode="&quot;$ &quot;#,##0"/>
    <numFmt numFmtId="166" formatCode="&quot;USD &quot;#,##0.00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sz val="10"/>
    </font>
    <font>
      <i val="1"/>
      <color rgb="00595959"/>
      <sz val="9"/>
    </font>
    <font>
      <b val="1"/>
      <color rgb="00FFFFFF"/>
      <sz val="10"/>
    </font>
    <font>
      <b val="1"/>
      <color rgb="001F3864"/>
      <sz val="11"/>
    </font>
    <font>
      <b val="1"/>
      <color rgb="00C00000"/>
      <sz val="9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9E2F3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1" pivotButton="0" quotePrefix="0" xfId="0"/>
    <xf numFmtId="0" fontId="3" fillId="0" borderId="1" applyAlignment="1" pivotButton="0" quotePrefix="0" xfId="0">
      <alignment horizontal="center"/>
    </xf>
    <xf numFmtId="0" fontId="4" fillId="0" borderId="0" pivotButton="0" quotePrefix="0" xfId="0"/>
    <xf numFmtId="0" fontId="3" fillId="4" borderId="1" applyAlignment="1" pivotButton="0" quotePrefix="0" xfId="0">
      <alignment horizontal="center"/>
    </xf>
    <xf numFmtId="9" fontId="3" fillId="0" borderId="1" applyAlignment="1" pivotButton="0" quotePrefix="0" xfId="0">
      <alignment horizontal="center"/>
    </xf>
    <xf numFmtId="0" fontId="2" fillId="0" borderId="0" pivotButton="0" quotePrefix="0" xfId="0"/>
    <xf numFmtId="0" fontId="5" fillId="5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left"/>
    </xf>
    <xf numFmtId="0" fontId="2" fillId="6" borderId="1" applyAlignment="1" pivotButton="0" quotePrefix="0" xfId="0">
      <alignment horizontal="left"/>
    </xf>
    <xf numFmtId="0" fontId="0" fillId="6" borderId="1" applyAlignment="1" pivotButton="0" quotePrefix="0" xfId="0">
      <alignment horizontal="center"/>
    </xf>
    <xf numFmtId="164" fontId="2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left"/>
    </xf>
    <xf numFmtId="0" fontId="6" fillId="7" borderId="1" applyAlignment="1" pivotButton="0" quotePrefix="0" xfId="0">
      <alignment horizontal="left"/>
    </xf>
    <xf numFmtId="0" fontId="0" fillId="7" borderId="1" applyAlignment="1" pivotButton="0" quotePrefix="0" xfId="0">
      <alignment horizontal="center"/>
    </xf>
    <xf numFmtId="164" fontId="6" fillId="7" borderId="1" applyAlignment="1" pivotButton="0" quotePrefix="0" xfId="0">
      <alignment horizontal="center"/>
    </xf>
    <xf numFmtId="165" fontId="2" fillId="0" borderId="0" applyAlignment="1" pivotButton="0" quotePrefix="0" xfId="0">
      <alignment horizontal="center"/>
    </xf>
    <xf numFmtId="165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5" fontId="6" fillId="7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165" fontId="2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164" fontId="6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165" fontId="2" fillId="7" borderId="1" applyAlignment="1" pivotButton="0" quotePrefix="0" xfId="0">
      <alignment horizontal="center" vertical="center"/>
    </xf>
    <xf numFmtId="0" fontId="6" fillId="0" borderId="0" pivotButton="0" quotePrefix="0" xfId="0"/>
    <xf numFmtId="166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  <xf numFmtId="164" fontId="3" fillId="0" borderId="1" applyAlignment="1" pivotButton="0" quotePrefix="0" xfId="0">
      <alignment horizontal="center" vertical="center"/>
    </xf>
    <xf numFmtId="9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/>
    </xf>
    <xf numFmtId="164" fontId="6" fillId="7" borderId="1" applyAlignment="1" pivotButton="0" quotePrefix="0" xfId="0">
      <alignment horizontal="center" vertical="center"/>
    </xf>
    <xf numFmtId="9" fontId="6" fillId="7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left" vertical="center"/>
    </xf>
    <xf numFmtId="0" fontId="0" fillId="7" borderId="1" applyAlignment="1" pivotButton="0" quotePrefix="0" xfId="0">
      <alignment horizontal="left" vertical="center" wrapText="1"/>
    </xf>
    <xf numFmtId="0" fontId="7" fillId="0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2" customWidth="1" min="1" max="1"/>
    <col width="20" customWidth="1" min="2" max="2"/>
    <col width="58" customWidth="1" min="3" max="3"/>
  </cols>
  <sheetData>
    <row r="1" ht="26" customHeight="1">
      <c r="A1" s="1" t="inlineStr">
        <is>
          <t>PODCAST FHC — PARÁMETROS DEL PRESUPUESTO</t>
        </is>
      </c>
    </row>
    <row r="3">
      <c r="A3" s="2" t="inlineStr">
        <is>
          <t>Proyecto</t>
        </is>
      </c>
      <c r="B3" s="3" t="inlineStr">
        <is>
          <t>Podcast Friedman Hayek Center — Temporada 1</t>
        </is>
      </c>
      <c r="C3" s="4" t="inlineStr"/>
    </row>
    <row r="4">
      <c r="A4" s="2" t="inlineStr">
        <is>
          <t>Tipo de cambio de referencia</t>
        </is>
      </c>
      <c r="B4" s="5" t="n"/>
      <c r="C4" s="4" t="inlineStr">
        <is>
          <t>◄ COMPLETAR. ARS por 1 USD. Toda la conversión a pesos del archivo usa esta celda.</t>
        </is>
      </c>
    </row>
    <row r="5">
      <c r="A5" s="2" t="inlineStr">
        <is>
          <t>Fecha de cotización del TC</t>
        </is>
      </c>
      <c r="B5" s="5" t="n"/>
      <c r="C5" s="4" t="inlineStr">
        <is>
          <t>◄ COMPLETAR. Fecha de corte del tipo de cambio usado.</t>
        </is>
      </c>
    </row>
    <row r="6">
      <c r="A6" s="2" t="inlineStr">
        <is>
          <t>Escenario de equipamiento</t>
        </is>
      </c>
      <c r="B6" s="3" t="inlineStr">
        <is>
          <t>Recomendado</t>
        </is>
      </c>
      <c r="C6" s="4" t="inlineStr">
        <is>
          <t>Opciones: Austero / Recomendado / Premium. Cambiar acá recalcula la hoja Resumen.</t>
        </is>
      </c>
    </row>
    <row r="7">
      <c r="A7" s="2" t="inlineStr">
        <is>
          <t>Cantidad de episodios</t>
        </is>
      </c>
      <c r="B7" s="3" t="n">
        <v>12</v>
      </c>
      <c r="C7" s="4" t="inlineStr">
        <is>
          <t>Temporada 1. Cada episodio adicional suma solo OPEX.</t>
        </is>
      </c>
    </row>
    <row r="8">
      <c r="A8" s="2" t="inlineStr">
        <is>
          <t>Cadencia de publicación (días)</t>
        </is>
      </c>
      <c r="B8" s="3" t="n">
        <v>20</v>
      </c>
      <c r="C8" s="4" t="inlineStr"/>
    </row>
    <row r="9">
      <c r="A9" s="2" t="inlineStr">
        <is>
          <t>Primera publicación</t>
        </is>
      </c>
      <c r="B9" s="3" t="inlineStr">
        <is>
          <t>05/11/2026</t>
        </is>
      </c>
      <c r="C9" s="4" t="inlineStr"/>
    </row>
    <row r="10">
      <c r="A10" s="2" t="inlineStr">
        <is>
          <t>Última publicación</t>
        </is>
      </c>
      <c r="B10" s="3" t="inlineStr">
        <is>
          <t>14/06/2027</t>
        </is>
      </c>
      <c r="C10" s="4" t="inlineStr"/>
    </row>
    <row r="11">
      <c r="A11" s="2" t="inlineStr">
        <is>
          <t>Contingencia</t>
        </is>
      </c>
      <c r="B11" s="6" t="n">
        <v>0.1</v>
      </c>
      <c r="C11" s="4" t="inlineStr">
        <is>
          <t>Sobre el subtotal.</t>
        </is>
      </c>
    </row>
    <row r="12">
      <c r="A12" s="2" t="inlineStr">
        <is>
          <t>Episodios con pauta paga</t>
        </is>
      </c>
      <c r="B12" s="3" t="n">
        <v>6</v>
      </c>
      <c r="C12" s="4" t="inlineStr">
        <is>
          <t>De 12. Ver §7.5 del documento.</t>
        </is>
      </c>
    </row>
    <row r="14">
      <c r="A14" s="7" t="inlineStr">
        <is>
          <t>NOTA</t>
        </is>
      </c>
    </row>
    <row r="15">
      <c r="A15" s="4" t="inlineStr">
        <is>
          <t>Los valores en USD son estimaciones de referencia para dimensionar el proyecto, no cotizaciones en firme. Antes de la aprobación final hay que pedir tres cotizaciones por rubro.</t>
        </is>
      </c>
    </row>
  </sheetData>
  <mergeCells count="2">
    <mergeCell ref="A15:C15"/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44" customWidth="1" min="2" max="2"/>
    <col width="8" customWidth="1" min="3" max="3"/>
    <col width="10" customWidth="1" min="4" max="4"/>
    <col width="12" customWidth="1" min="5" max="5"/>
    <col width="8" customWidth="1" min="6" max="6"/>
    <col width="10" customWidth="1" min="7" max="7"/>
    <col width="12" customWidth="1" min="8" max="8"/>
    <col width="8" customWidth="1" min="9" max="9"/>
    <col width="10" customWidth="1" min="10" max="10"/>
    <col width="12" customWidth="1" min="11" max="11"/>
  </cols>
  <sheetData>
    <row r="1" ht="26" customHeight="1">
      <c r="A1" s="1" t="inlineStr">
        <is>
          <t>CAPEX — INVERSIÓN DE ÚNICA VEZ (activo que queda en UCEMA)</t>
        </is>
      </c>
    </row>
    <row r="3" ht="30" customHeight="1">
      <c r="A3" s="8" t="inlineStr">
        <is>
          <t>Rubro</t>
        </is>
      </c>
      <c r="B3" s="8" t="inlineStr">
        <is>
          <t>Ítem</t>
        </is>
      </c>
      <c r="C3" s="8" t="inlineStr">
        <is>
          <t>Cant.
Austero</t>
        </is>
      </c>
      <c r="D3" s="8" t="inlineStr">
        <is>
          <t>Unit.
Austero</t>
        </is>
      </c>
      <c r="E3" s="8" t="inlineStr">
        <is>
          <t>Total
Austero</t>
        </is>
      </c>
      <c r="F3" s="8" t="inlineStr">
        <is>
          <t>Cant.
Recom.</t>
        </is>
      </c>
      <c r="G3" s="8" t="inlineStr">
        <is>
          <t>Unit.
Recom.</t>
        </is>
      </c>
      <c r="H3" s="8" t="inlineStr">
        <is>
          <t>Total
Recom.</t>
        </is>
      </c>
      <c r="I3" s="8" t="inlineStr">
        <is>
          <t>Cant.
Premium</t>
        </is>
      </c>
      <c r="J3" s="8" t="inlineStr">
        <is>
          <t>Unit.
Premium</t>
        </is>
      </c>
      <c r="K3" s="8" t="inlineStr">
        <is>
          <t>Total
Premium</t>
        </is>
      </c>
    </row>
    <row r="4">
      <c r="A4" s="9" t="inlineStr">
        <is>
          <t>VIDEO</t>
        </is>
      </c>
      <c r="B4" s="10" t="inlineStr">
        <is>
          <t>Cámara mirrorless con lente</t>
        </is>
      </c>
      <c r="C4" s="11" t="n">
        <v>2</v>
      </c>
      <c r="D4" s="12" t="n">
        <v>400</v>
      </c>
      <c r="E4" s="12">
        <f>C4*D4</f>
        <v/>
      </c>
      <c r="F4" s="11" t="n">
        <v>3</v>
      </c>
      <c r="G4" s="12" t="n">
        <v>700</v>
      </c>
      <c r="H4" s="12">
        <f>F4*G4</f>
        <v/>
      </c>
      <c r="I4" s="11" t="n">
        <v>3</v>
      </c>
      <c r="J4" s="12" t="n">
        <v>1400</v>
      </c>
      <c r="K4" s="12">
        <f>I4*J4</f>
        <v/>
      </c>
    </row>
    <row r="5">
      <c r="A5" s="9" t="inlineStr"/>
      <c r="B5" s="10" t="inlineStr">
        <is>
          <t>Trípode de cámara</t>
        </is>
      </c>
      <c r="C5" s="11" t="n">
        <v>2</v>
      </c>
      <c r="D5" s="12" t="n">
        <v>75</v>
      </c>
      <c r="E5" s="12">
        <f>C5*D5</f>
        <v/>
      </c>
      <c r="F5" s="11" t="n">
        <v>3</v>
      </c>
      <c r="G5" s="12" t="n">
        <v>90</v>
      </c>
      <c r="H5" s="12">
        <f>F5*G5</f>
        <v/>
      </c>
      <c r="I5" s="11" t="n">
        <v>3</v>
      </c>
      <c r="J5" s="12" t="n">
        <v>150</v>
      </c>
      <c r="K5" s="12">
        <f>I5*J5</f>
        <v/>
      </c>
    </row>
    <row r="6">
      <c r="A6" s="9" t="inlineStr"/>
      <c r="B6" s="10" t="inlineStr">
        <is>
          <t>Tarjeta de memoria de alta velocidad</t>
        </is>
      </c>
      <c r="C6" s="11" t="n">
        <v>4</v>
      </c>
      <c r="D6" s="12" t="n">
        <v>25</v>
      </c>
      <c r="E6" s="12">
        <f>C6*D6</f>
        <v/>
      </c>
      <c r="F6" s="11" t="n">
        <v>6</v>
      </c>
      <c r="G6" s="12" t="n">
        <v>30</v>
      </c>
      <c r="H6" s="12">
        <f>F6*G6</f>
        <v/>
      </c>
      <c r="I6" s="11" t="n">
        <v>6</v>
      </c>
      <c r="J6" s="12" t="n">
        <v>45</v>
      </c>
      <c r="K6" s="12">
        <f>I6*J6</f>
        <v/>
      </c>
    </row>
    <row r="7">
      <c r="A7" s="9" t="inlineStr"/>
      <c r="B7" s="10" t="inlineStr">
        <is>
          <t>Alimentación continua (dummy battery)</t>
        </is>
      </c>
      <c r="C7" s="11" t="n">
        <v>0</v>
      </c>
      <c r="D7" s="12" t="n">
        <v>0</v>
      </c>
      <c r="E7" s="12">
        <f>C7*D7</f>
        <v/>
      </c>
      <c r="F7" s="11" t="n">
        <v>3</v>
      </c>
      <c r="G7" s="12" t="n">
        <v>35</v>
      </c>
      <c r="H7" s="12">
        <f>F7*G7</f>
        <v/>
      </c>
      <c r="I7" s="11" t="n">
        <v>3</v>
      </c>
      <c r="J7" s="12" t="n">
        <v>45</v>
      </c>
      <c r="K7" s="12">
        <f>I7*J7</f>
        <v/>
      </c>
    </row>
    <row r="8">
      <c r="A8" s="9" t="inlineStr"/>
      <c r="B8" s="10" t="inlineStr">
        <is>
          <t>Switcher de corte en vivo</t>
        </is>
      </c>
      <c r="C8" s="11" t="n">
        <v>0</v>
      </c>
      <c r="D8" s="12" t="n">
        <v>0</v>
      </c>
      <c r="E8" s="12">
        <f>C8*D8</f>
        <v/>
      </c>
      <c r="F8" s="11" t="n">
        <v>0</v>
      </c>
      <c r="G8" s="12" t="n">
        <v>0</v>
      </c>
      <c r="H8" s="12">
        <f>F8*G8</f>
        <v/>
      </c>
      <c r="I8" s="11" t="n">
        <v>1</v>
      </c>
      <c r="J8" s="12" t="n">
        <v>300</v>
      </c>
      <c r="K8" s="12">
        <f>I8*J8</f>
        <v/>
      </c>
    </row>
    <row r="9">
      <c r="A9" s="9" t="inlineStr"/>
      <c r="B9" s="10" t="inlineStr">
        <is>
          <t>Cables HDMI, soportes y accesorios</t>
        </is>
      </c>
      <c r="C9" s="11" t="n">
        <v>1</v>
      </c>
      <c r="D9" s="12" t="n">
        <v>80</v>
      </c>
      <c r="E9" s="12">
        <f>C9*D9</f>
        <v/>
      </c>
      <c r="F9" s="11" t="n">
        <v>1</v>
      </c>
      <c r="G9" s="12" t="n">
        <v>100</v>
      </c>
      <c r="H9" s="12">
        <f>F9*G9</f>
        <v/>
      </c>
      <c r="I9" s="11" t="n">
        <v>1</v>
      </c>
      <c r="J9" s="12" t="n">
        <v>25</v>
      </c>
      <c r="K9" s="12">
        <f>I9*J9</f>
        <v/>
      </c>
    </row>
    <row r="10">
      <c r="A10" s="9" t="inlineStr"/>
      <c r="B10" s="10" t="inlineStr">
        <is>
          <t>Claqueta de sincronización</t>
        </is>
      </c>
      <c r="C10" s="11" t="n">
        <v>1</v>
      </c>
      <c r="D10" s="12" t="n">
        <v>20</v>
      </c>
      <c r="E10" s="12">
        <f>C10*D10</f>
        <v/>
      </c>
      <c r="F10" s="11" t="n">
        <v>1</v>
      </c>
      <c r="G10" s="12" t="n">
        <v>20</v>
      </c>
      <c r="H10" s="12">
        <f>F10*G10</f>
        <v/>
      </c>
      <c r="I10" s="11" t="n">
        <v>1</v>
      </c>
      <c r="J10" s="12" t="n">
        <v>20</v>
      </c>
      <c r="K10" s="12">
        <f>I10*J10</f>
        <v/>
      </c>
    </row>
    <row r="11">
      <c r="A11" s="13" t="n"/>
      <c r="B11" s="14" t="inlineStr">
        <is>
          <t>Subtotal VIDEO</t>
        </is>
      </c>
      <c r="C11" s="15" t="n"/>
      <c r="D11" s="15" t="n"/>
      <c r="E11" s="16">
        <f>SUM(E4:E10)</f>
        <v/>
      </c>
      <c r="F11" s="15" t="n"/>
      <c r="G11" s="15" t="n"/>
      <c r="H11" s="16">
        <f>SUM(H4:H10)</f>
        <v/>
      </c>
      <c r="I11" s="15" t="n"/>
      <c r="J11" s="15" t="n"/>
      <c r="K11" s="16">
        <f>SUM(K4:K10)</f>
        <v/>
      </c>
    </row>
    <row r="13">
      <c r="A13" s="9" t="inlineStr">
        <is>
          <t>AUDIO</t>
        </is>
      </c>
      <c r="B13" s="10" t="inlineStr">
        <is>
          <t>Micrófono dinámico de podcast</t>
        </is>
      </c>
      <c r="C13" s="11" t="n">
        <v>4</v>
      </c>
      <c r="D13" s="12" t="n">
        <v>70</v>
      </c>
      <c r="E13" s="12">
        <f>C13*D13</f>
        <v/>
      </c>
      <c r="F13" s="11" t="n">
        <v>4</v>
      </c>
      <c r="G13" s="12" t="n">
        <v>130</v>
      </c>
      <c r="H13" s="12">
        <f>F13*G13</f>
        <v/>
      </c>
      <c r="I13" s="11" t="n">
        <v>4</v>
      </c>
      <c r="J13" s="12" t="n">
        <v>320</v>
      </c>
      <c r="K13" s="12">
        <f>I13*J13</f>
        <v/>
      </c>
    </row>
    <row r="14">
      <c r="A14" s="9" t="inlineStr"/>
      <c r="B14" s="10" t="inlineStr">
        <is>
          <t>Brazo articulado para micrófono</t>
        </is>
      </c>
      <c r="C14" s="11" t="n">
        <v>4</v>
      </c>
      <c r="D14" s="12" t="n">
        <v>45</v>
      </c>
      <c r="E14" s="12">
        <f>C14*D14</f>
        <v/>
      </c>
      <c r="F14" s="11" t="n">
        <v>4</v>
      </c>
      <c r="G14" s="12" t="n">
        <v>100</v>
      </c>
      <c r="H14" s="12">
        <f>F14*G14</f>
        <v/>
      </c>
      <c r="I14" s="11" t="n">
        <v>4</v>
      </c>
      <c r="J14" s="12" t="n">
        <v>120</v>
      </c>
      <c r="K14" s="12">
        <f>I14*J14</f>
        <v/>
      </c>
    </row>
    <row r="15">
      <c r="A15" s="9" t="inlineStr"/>
      <c r="B15" s="10" t="inlineStr">
        <is>
          <t>Interfaz / consola de podcast multicanal</t>
        </is>
      </c>
      <c r="C15" s="11" t="n">
        <v>1</v>
      </c>
      <c r="D15" s="12" t="n">
        <v>220</v>
      </c>
      <c r="E15" s="12">
        <f>C15*D15</f>
        <v/>
      </c>
      <c r="F15" s="11" t="n">
        <v>1</v>
      </c>
      <c r="G15" s="12" t="n">
        <v>600</v>
      </c>
      <c r="H15" s="12">
        <f>F15*G15</f>
        <v/>
      </c>
      <c r="I15" s="11" t="n">
        <v>1</v>
      </c>
      <c r="J15" s="12" t="n">
        <v>750</v>
      </c>
      <c r="K15" s="12">
        <f>I15*J15</f>
        <v/>
      </c>
    </row>
    <row r="16">
      <c r="A16" s="9" t="inlineStr"/>
      <c r="B16" s="10" t="inlineStr">
        <is>
          <t>Auriculares cerrados de monitoreo</t>
        </is>
      </c>
      <c r="C16" s="11" t="n">
        <v>4</v>
      </c>
      <c r="D16" s="12" t="n">
        <v>30</v>
      </c>
      <c r="E16" s="12">
        <f>C16*D16</f>
        <v/>
      </c>
      <c r="F16" s="11" t="n">
        <v>4</v>
      </c>
      <c r="G16" s="12" t="n">
        <v>60</v>
      </c>
      <c r="H16" s="12">
        <f>F16*G16</f>
        <v/>
      </c>
      <c r="I16" s="11" t="n">
        <v>4</v>
      </c>
      <c r="J16" s="12" t="n">
        <v>90</v>
      </c>
      <c r="K16" s="12">
        <f>I16*J16</f>
        <v/>
      </c>
    </row>
    <row r="17">
      <c r="A17" s="9" t="inlineStr"/>
      <c r="B17" s="10" t="inlineStr">
        <is>
          <t>Cable XLR</t>
        </is>
      </c>
      <c r="C17" s="11" t="n">
        <v>6</v>
      </c>
      <c r="D17" s="12" t="n">
        <v>8</v>
      </c>
      <c r="E17" s="12">
        <f>C17*D17</f>
        <v/>
      </c>
      <c r="F17" s="11" t="n">
        <v>6</v>
      </c>
      <c r="G17" s="12" t="n">
        <v>15</v>
      </c>
      <c r="H17" s="12">
        <f>F17*G17</f>
        <v/>
      </c>
      <c r="I17" s="11" t="n">
        <v>6</v>
      </c>
      <c r="J17" s="12" t="n">
        <v>20</v>
      </c>
      <c r="K17" s="12">
        <f>I17*J17</f>
        <v/>
      </c>
    </row>
    <row r="18">
      <c r="A18" s="9" t="inlineStr"/>
      <c r="B18" s="10" t="inlineStr">
        <is>
          <t>Filtro anti-pop</t>
        </is>
      </c>
      <c r="C18" s="11" t="n">
        <v>4</v>
      </c>
      <c r="D18" s="12" t="n">
        <v>6</v>
      </c>
      <c r="E18" s="12">
        <f>C18*D18</f>
        <v/>
      </c>
      <c r="F18" s="11" t="n">
        <v>4</v>
      </c>
      <c r="G18" s="12" t="n">
        <v>10</v>
      </c>
      <c r="H18" s="12">
        <f>F18*G18</f>
        <v/>
      </c>
      <c r="I18" s="11" t="n">
        <v>4</v>
      </c>
      <c r="J18" s="12" t="n">
        <v>10</v>
      </c>
      <c r="K18" s="12">
        <f>I18*J18</f>
        <v/>
      </c>
    </row>
    <row r="19">
      <c r="A19" s="9" t="inlineStr"/>
      <c r="B19" s="10" t="inlineStr">
        <is>
          <t>Grabador de respaldo</t>
        </is>
      </c>
      <c r="C19" s="11" t="n">
        <v>1</v>
      </c>
      <c r="D19" s="12" t="n">
        <v>18</v>
      </c>
      <c r="E19" s="12">
        <f>C19*D19</f>
        <v/>
      </c>
      <c r="F19" s="11" t="n">
        <v>1</v>
      </c>
      <c r="G19" s="12" t="n">
        <v>70</v>
      </c>
      <c r="H19" s="12">
        <f>F19*G19</f>
        <v/>
      </c>
      <c r="I19" s="11" t="n">
        <v>1</v>
      </c>
      <c r="J19" s="12" t="n">
        <v>120</v>
      </c>
      <c r="K19" s="12">
        <f>I19*J19</f>
        <v/>
      </c>
    </row>
    <row r="20">
      <c r="A20" s="13" t="n"/>
      <c r="B20" s="14" t="inlineStr">
        <is>
          <t>Subtotal AUDIO</t>
        </is>
      </c>
      <c r="C20" s="15" t="n"/>
      <c r="D20" s="15" t="n"/>
      <c r="E20" s="16">
        <f>SUM(E13:E19)</f>
        <v/>
      </c>
      <c r="F20" s="15" t="n"/>
      <c r="G20" s="15" t="n"/>
      <c r="H20" s="16">
        <f>SUM(H13:H19)</f>
        <v/>
      </c>
      <c r="I20" s="15" t="n"/>
      <c r="J20" s="15" t="n"/>
      <c r="K20" s="16">
        <f>SUM(K13:K19)</f>
        <v/>
      </c>
    </row>
    <row r="22">
      <c r="A22" s="9" t="inlineStr">
        <is>
          <t>ILUMINACIÓN</t>
        </is>
      </c>
      <c r="B22" s="10" t="inlineStr">
        <is>
          <t>Panel LED bicolor con softbox</t>
        </is>
      </c>
      <c r="C22" s="11" t="n">
        <v>2</v>
      </c>
      <c r="D22" s="12" t="n">
        <v>110</v>
      </c>
      <c r="E22" s="12">
        <f>C22*D22</f>
        <v/>
      </c>
      <c r="F22" s="11" t="n">
        <v>2</v>
      </c>
      <c r="G22" s="12" t="n">
        <v>200</v>
      </c>
      <c r="H22" s="12">
        <f>F22*G22</f>
        <v/>
      </c>
      <c r="I22" s="11" t="n">
        <v>2</v>
      </c>
      <c r="J22" s="12" t="n">
        <v>400</v>
      </c>
      <c r="K22" s="12">
        <f>I22*J22</f>
        <v/>
      </c>
    </row>
    <row r="23">
      <c r="A23" s="9" t="inlineStr"/>
      <c r="B23" s="10" t="inlineStr">
        <is>
          <t>Panel LED de recorte (luz trasera)</t>
        </is>
      </c>
      <c r="C23" s="11" t="n">
        <v>0</v>
      </c>
      <c r="D23" s="12" t="n">
        <v>0</v>
      </c>
      <c r="E23" s="12">
        <f>C23*D23</f>
        <v/>
      </c>
      <c r="F23" s="11" t="n">
        <v>1</v>
      </c>
      <c r="G23" s="12" t="n">
        <v>120</v>
      </c>
      <c r="H23" s="12">
        <f>F23*G23</f>
        <v/>
      </c>
      <c r="I23" s="11" t="n">
        <v>1</v>
      </c>
      <c r="J23" s="12" t="n">
        <v>250</v>
      </c>
      <c r="K23" s="12">
        <f>I23*J23</f>
        <v/>
      </c>
    </row>
    <row r="24">
      <c r="A24" s="9" t="inlineStr"/>
      <c r="B24" s="10" t="inlineStr">
        <is>
          <t>Luz de fondo RGB / lámpara de ambiente</t>
        </is>
      </c>
      <c r="C24" s="11" t="n">
        <v>1</v>
      </c>
      <c r="D24" s="12" t="n">
        <v>45</v>
      </c>
      <c r="E24" s="12">
        <f>C24*D24</f>
        <v/>
      </c>
      <c r="F24" s="11" t="n">
        <v>2</v>
      </c>
      <c r="G24" s="12" t="n">
        <v>55</v>
      </c>
      <c r="H24" s="12">
        <f>F24*G24</f>
        <v/>
      </c>
      <c r="I24" s="11" t="n">
        <v>2</v>
      </c>
      <c r="J24" s="12" t="n">
        <v>90</v>
      </c>
      <c r="K24" s="12">
        <f>I24*J24</f>
        <v/>
      </c>
    </row>
    <row r="25">
      <c r="A25" s="9" t="inlineStr"/>
      <c r="B25" s="10" t="inlineStr">
        <is>
          <t>Trípode de luz</t>
        </is>
      </c>
      <c r="C25" s="11" t="n">
        <v>2</v>
      </c>
      <c r="D25" s="12" t="n">
        <v>30</v>
      </c>
      <c r="E25" s="12">
        <f>C25*D25</f>
        <v/>
      </c>
      <c r="F25" s="11" t="n">
        <v>3</v>
      </c>
      <c r="G25" s="12" t="n">
        <v>30</v>
      </c>
      <c r="H25" s="12">
        <f>F25*G25</f>
        <v/>
      </c>
      <c r="I25" s="11" t="n">
        <v>3</v>
      </c>
      <c r="J25" s="12" t="n">
        <v>55</v>
      </c>
      <c r="K25" s="12">
        <f>I25*J25</f>
        <v/>
      </c>
    </row>
    <row r="26">
      <c r="A26" s="9" t="inlineStr"/>
      <c r="B26" s="10" t="inlineStr">
        <is>
          <t>Difusores y banderas</t>
        </is>
      </c>
      <c r="C26" s="11" t="n">
        <v>1</v>
      </c>
      <c r="D26" s="12" t="n">
        <v>55</v>
      </c>
      <c r="E26" s="12">
        <f>C26*D26</f>
        <v/>
      </c>
      <c r="F26" s="11" t="n">
        <v>1</v>
      </c>
      <c r="G26" s="12" t="n">
        <v>30</v>
      </c>
      <c r="H26" s="12">
        <f>F26*G26</f>
        <v/>
      </c>
      <c r="I26" s="11" t="n">
        <v>1</v>
      </c>
      <c r="J26" s="12" t="n">
        <v>55</v>
      </c>
      <c r="K26" s="12">
        <f>I26*J26</f>
        <v/>
      </c>
    </row>
    <row r="27">
      <c r="A27" s="13" t="n"/>
      <c r="B27" s="14" t="inlineStr">
        <is>
          <t>Subtotal ILUMINACIÓN</t>
        </is>
      </c>
      <c r="C27" s="15" t="n"/>
      <c r="D27" s="15" t="n"/>
      <c r="E27" s="16">
        <f>SUM(E22:E26)</f>
        <v/>
      </c>
      <c r="F27" s="15" t="n"/>
      <c r="G27" s="15" t="n"/>
      <c r="H27" s="16">
        <f>SUM(H22:H26)</f>
        <v/>
      </c>
      <c r="I27" s="15" t="n"/>
      <c r="J27" s="15" t="n"/>
      <c r="K27" s="16">
        <f>SUM(K22:K26)</f>
        <v/>
      </c>
    </row>
    <row r="29">
      <c r="A29" s="9" t="inlineStr">
        <is>
          <t>SET Y ACÚSTICA</t>
        </is>
      </c>
      <c r="B29" s="10" t="inlineStr">
        <is>
          <t>Butaca individual para entrevista</t>
        </is>
      </c>
      <c r="C29" s="11" t="n">
        <v>0</v>
      </c>
      <c r="D29" s="12" t="n">
        <v>0</v>
      </c>
      <c r="E29" s="12">
        <f>C29*D29</f>
        <v/>
      </c>
      <c r="F29" s="11" t="n">
        <v>3</v>
      </c>
      <c r="G29" s="12" t="n">
        <v>300</v>
      </c>
      <c r="H29" s="12">
        <f>F29*G29</f>
        <v/>
      </c>
      <c r="I29" s="11" t="n">
        <v>3</v>
      </c>
      <c r="J29" s="12" t="n">
        <v>550</v>
      </c>
      <c r="K29" s="12">
        <f>I29*J29</f>
        <v/>
      </c>
    </row>
    <row r="30">
      <c r="A30" s="9" t="inlineStr"/>
      <c r="B30" s="10" t="inlineStr">
        <is>
          <t>Mesa ratona baja</t>
        </is>
      </c>
      <c r="C30" s="11" t="n">
        <v>0</v>
      </c>
      <c r="D30" s="12" t="n">
        <v>0</v>
      </c>
      <c r="E30" s="12">
        <f>C30*D30</f>
        <v/>
      </c>
      <c r="F30" s="11" t="n">
        <v>1</v>
      </c>
      <c r="G30" s="12" t="n">
        <v>200</v>
      </c>
      <c r="H30" s="12">
        <f>F30*G30</f>
        <v/>
      </c>
      <c r="I30" s="11" t="n">
        <v>1</v>
      </c>
      <c r="J30" s="12" t="n">
        <v>350</v>
      </c>
      <c r="K30" s="12">
        <f>I30*J30</f>
        <v/>
      </c>
    </row>
    <row r="31">
      <c r="A31" s="9" t="inlineStr"/>
      <c r="B31" s="10" t="inlineStr">
        <is>
          <t>Alfombra (control de rebote del piso)</t>
        </is>
      </c>
      <c r="C31" s="11" t="n">
        <v>1</v>
      </c>
      <c r="D31" s="12" t="n">
        <v>90</v>
      </c>
      <c r="E31" s="12">
        <f>C31*D31</f>
        <v/>
      </c>
      <c r="F31" s="11" t="n">
        <v>1</v>
      </c>
      <c r="G31" s="12" t="n">
        <v>150</v>
      </c>
      <c r="H31" s="12">
        <f>F31*G31</f>
        <v/>
      </c>
      <c r="I31" s="11" t="n">
        <v>1</v>
      </c>
      <c r="J31" s="12" t="n">
        <v>300</v>
      </c>
      <c r="K31" s="12">
        <f>I31*J31</f>
        <v/>
      </c>
    </row>
    <row r="32">
      <c r="A32" s="9" t="inlineStr"/>
      <c r="B32" s="10" t="inlineStr">
        <is>
          <t>Biblioteca / estantería de fondo</t>
        </is>
      </c>
      <c r="C32" s="11" t="n">
        <v>0</v>
      </c>
      <c r="D32" s="12" t="n">
        <v>0</v>
      </c>
      <c r="E32" s="12">
        <f>C32*D32</f>
        <v/>
      </c>
      <c r="F32" s="11" t="n">
        <v>1</v>
      </c>
      <c r="G32" s="12" t="n">
        <v>280</v>
      </c>
      <c r="H32" s="12">
        <f>F32*G32</f>
        <v/>
      </c>
      <c r="I32" s="11" t="n">
        <v>1</v>
      </c>
      <c r="J32" s="12" t="n">
        <v>700</v>
      </c>
      <c r="K32" s="12">
        <f>I32*J32</f>
        <v/>
      </c>
    </row>
    <row r="33">
      <c r="A33" s="9" t="inlineStr"/>
      <c r="B33" s="10" t="inlineStr">
        <is>
          <t>Ambientación (libros, objetos, plantas)</t>
        </is>
      </c>
      <c r="C33" s="11" t="n">
        <v>1</v>
      </c>
      <c r="D33" s="12" t="n">
        <v>90</v>
      </c>
      <c r="E33" s="12">
        <f>C33*D33</f>
        <v/>
      </c>
      <c r="F33" s="11" t="n">
        <v>1</v>
      </c>
      <c r="G33" s="12" t="n">
        <v>150</v>
      </c>
      <c r="H33" s="12">
        <f>F33*G33</f>
        <v/>
      </c>
      <c r="I33" s="11" t="n">
        <v>1</v>
      </c>
      <c r="J33" s="12" t="n">
        <v>300</v>
      </c>
      <c r="K33" s="12">
        <f>I33*J33</f>
        <v/>
      </c>
    </row>
    <row r="34">
      <c r="A34" s="9" t="inlineStr"/>
      <c r="B34" s="10" t="inlineStr">
        <is>
          <t>Paneles acústicos (pack de 12) e instalación</t>
        </is>
      </c>
      <c r="C34" s="11" t="n">
        <v>1</v>
      </c>
      <c r="D34" s="12" t="n">
        <v>250</v>
      </c>
      <c r="E34" s="12">
        <f>C34*D34</f>
        <v/>
      </c>
      <c r="F34" s="11" t="n">
        <v>1</v>
      </c>
      <c r="G34" s="12" t="n">
        <v>250</v>
      </c>
      <c r="H34" s="12">
        <f>F34*G34</f>
        <v/>
      </c>
      <c r="I34" s="11" t="n">
        <v>1</v>
      </c>
      <c r="J34" s="12" t="n">
        <v>500</v>
      </c>
      <c r="K34" s="12">
        <f>I34*J34</f>
        <v/>
      </c>
    </row>
    <row r="35">
      <c r="A35" s="9" t="inlineStr"/>
      <c r="B35" s="10" t="inlineStr">
        <is>
          <t>Cortinado pesado</t>
        </is>
      </c>
      <c r="C35" s="11" t="n">
        <v>1</v>
      </c>
      <c r="D35" s="12" t="n">
        <v>70</v>
      </c>
      <c r="E35" s="12">
        <f>C35*D35</f>
        <v/>
      </c>
      <c r="F35" s="11" t="n">
        <v>1</v>
      </c>
      <c r="G35" s="12" t="n">
        <v>100</v>
      </c>
      <c r="H35" s="12">
        <f>F35*G35</f>
        <v/>
      </c>
      <c r="I35" s="11" t="n">
        <v>1</v>
      </c>
      <c r="J35" s="12" t="n">
        <v>150</v>
      </c>
      <c r="K35" s="12">
        <f>I35*J35</f>
        <v/>
      </c>
    </row>
    <row r="36">
      <c r="A36" s="9" t="inlineStr"/>
      <c r="B36" s="10" t="inlineStr">
        <is>
          <t>Mesa auxiliar técnica y perchero</t>
        </is>
      </c>
      <c r="C36" s="11" t="n">
        <v>1</v>
      </c>
      <c r="D36" s="12" t="n">
        <v>60</v>
      </c>
      <c r="E36" s="12">
        <f>C36*D36</f>
        <v/>
      </c>
      <c r="F36" s="11" t="n">
        <v>1</v>
      </c>
      <c r="G36" s="12" t="n">
        <v>120</v>
      </c>
      <c r="H36" s="12">
        <f>F36*G36</f>
        <v/>
      </c>
      <c r="I36" s="11" t="n">
        <v>1</v>
      </c>
      <c r="J36" s="12" t="n">
        <v>100</v>
      </c>
      <c r="K36" s="12">
        <f>I36*J36</f>
        <v/>
      </c>
    </row>
    <row r="37">
      <c r="A37" s="9" t="inlineStr"/>
      <c r="B37" s="10" t="inlineStr">
        <is>
          <t>Banner / placa con identidad FHC</t>
        </is>
      </c>
      <c r="C37" s="11" t="n">
        <v>1</v>
      </c>
      <c r="D37" s="12" t="n">
        <v>140</v>
      </c>
      <c r="E37" s="12">
        <f>C37*D37</f>
        <v/>
      </c>
      <c r="F37" s="11" t="n">
        <v>1</v>
      </c>
      <c r="G37" s="12" t="n">
        <v>100</v>
      </c>
      <c r="H37" s="12">
        <f>F37*G37</f>
        <v/>
      </c>
      <c r="I37" s="11" t="n">
        <v>1</v>
      </c>
      <c r="J37" s="12" t="n">
        <v>50</v>
      </c>
      <c r="K37" s="12">
        <f>I37*J37</f>
        <v/>
      </c>
    </row>
    <row r="38">
      <c r="A38" s="13" t="n"/>
      <c r="B38" s="14" t="inlineStr">
        <is>
          <t>Subtotal SET Y ACÚSTICA</t>
        </is>
      </c>
      <c r="C38" s="15" t="n"/>
      <c r="D38" s="15" t="n"/>
      <c r="E38" s="16">
        <f>SUM(E29:E37)</f>
        <v/>
      </c>
      <c r="F38" s="15" t="n"/>
      <c r="G38" s="15" t="n"/>
      <c r="H38" s="16">
        <f>SUM(H29:H37)</f>
        <v/>
      </c>
      <c r="I38" s="15" t="n"/>
      <c r="J38" s="15" t="n"/>
      <c r="K38" s="16">
        <f>SUM(K29:K37)</f>
        <v/>
      </c>
    </row>
    <row r="40">
      <c r="A40" s="9" t="inlineStr">
        <is>
          <t>POSPRODUCCIÓN</t>
        </is>
      </c>
      <c r="B40" s="10" t="inlineStr">
        <is>
          <t>Notebook / workstation de edición</t>
        </is>
      </c>
      <c r="C40" s="11" t="n">
        <v>0</v>
      </c>
      <c r="D40" s="12" t="n">
        <v>0</v>
      </c>
      <c r="E40" s="12">
        <f>C40*D40</f>
        <v/>
      </c>
      <c r="F40" s="11" t="n">
        <v>1</v>
      </c>
      <c r="G40" s="12" t="n">
        <v>1000</v>
      </c>
      <c r="H40" s="12">
        <f>F40*G40</f>
        <v/>
      </c>
      <c r="I40" s="11" t="n">
        <v>1</v>
      </c>
      <c r="J40" s="12" t="n">
        <v>1800</v>
      </c>
      <c r="K40" s="12">
        <f>I40*J40</f>
        <v/>
      </c>
    </row>
    <row r="41">
      <c r="A41" s="9" t="inlineStr"/>
      <c r="B41" s="10" t="inlineStr">
        <is>
          <t>Disco SSD externo (2 TB / 4 TB)</t>
        </is>
      </c>
      <c r="C41" s="11" t="n">
        <v>1</v>
      </c>
      <c r="D41" s="12" t="n">
        <v>130</v>
      </c>
      <c r="E41" s="12">
        <f>C41*D41</f>
        <v/>
      </c>
      <c r="F41" s="11" t="n">
        <v>1</v>
      </c>
      <c r="G41" s="12" t="n">
        <v>150</v>
      </c>
      <c r="H41" s="12">
        <f>F41*G41</f>
        <v/>
      </c>
      <c r="I41" s="11" t="n">
        <v>1</v>
      </c>
      <c r="J41" s="12" t="n">
        <v>250</v>
      </c>
      <c r="K41" s="12">
        <f>I41*J41</f>
        <v/>
      </c>
    </row>
    <row r="42">
      <c r="A42" s="9" t="inlineStr"/>
      <c r="B42" s="10" t="inlineStr">
        <is>
          <t>Lector de tarjetas y accesorios</t>
        </is>
      </c>
      <c r="C42" s="11" t="n">
        <v>1</v>
      </c>
      <c r="D42" s="12" t="n">
        <v>50</v>
      </c>
      <c r="E42" s="12">
        <f>C42*D42</f>
        <v/>
      </c>
      <c r="F42" s="11" t="n">
        <v>1</v>
      </c>
      <c r="G42" s="12" t="n">
        <v>45</v>
      </c>
      <c r="H42" s="12">
        <f>F42*G42</f>
        <v/>
      </c>
      <c r="I42" s="11" t="n">
        <v>1</v>
      </c>
      <c r="J42" s="12" t="n">
        <v>50</v>
      </c>
      <c r="K42" s="12">
        <f>I42*J42</f>
        <v/>
      </c>
    </row>
    <row r="43">
      <c r="A43" s="9" t="inlineStr"/>
      <c r="B43" s="10" t="inlineStr">
        <is>
          <t>Monitor secundario / calibrado</t>
        </is>
      </c>
      <c r="C43" s="11" t="n">
        <v>0</v>
      </c>
      <c r="D43" s="12" t="n">
        <v>0</v>
      </c>
      <c r="E43" s="12">
        <f>C43*D43</f>
        <v/>
      </c>
      <c r="F43" s="11" t="n">
        <v>1</v>
      </c>
      <c r="G43" s="12" t="n">
        <v>100</v>
      </c>
      <c r="H43" s="12">
        <f>F43*G43</f>
        <v/>
      </c>
      <c r="I43" s="11" t="n">
        <v>1</v>
      </c>
      <c r="J43" s="12" t="n">
        <v>200</v>
      </c>
      <c r="K43" s="12">
        <f>I43*J43</f>
        <v/>
      </c>
    </row>
    <row r="44">
      <c r="A44" s="9" t="inlineStr"/>
      <c r="B44" s="10" t="inlineStr">
        <is>
          <t>Software de edición (DaVinci Resolve gratuito)</t>
        </is>
      </c>
      <c r="C44" s="11" t="n">
        <v>1</v>
      </c>
      <c r="D44" s="12" t="n">
        <v>0</v>
      </c>
      <c r="E44" s="12">
        <f>C44*D44</f>
        <v/>
      </c>
      <c r="F44" s="11" t="n">
        <v>1</v>
      </c>
      <c r="G44" s="12" t="n">
        <v>0</v>
      </c>
      <c r="H44" s="12">
        <f>F44*G44</f>
        <v/>
      </c>
      <c r="I44" s="11" t="n">
        <v>1</v>
      </c>
      <c r="J44" s="12" t="n">
        <v>0</v>
      </c>
      <c r="K44" s="12">
        <f>I44*J44</f>
        <v/>
      </c>
    </row>
    <row r="45">
      <c r="A45" s="13" t="n"/>
      <c r="B45" s="14" t="inlineStr">
        <is>
          <t>Subtotal POSPRODUCCIÓN</t>
        </is>
      </c>
      <c r="C45" s="15" t="n"/>
      <c r="D45" s="15" t="n"/>
      <c r="E45" s="16">
        <f>SUM(E40:E44)</f>
        <v/>
      </c>
      <c r="F45" s="15" t="n"/>
      <c r="G45" s="15" t="n"/>
      <c r="H45" s="16">
        <f>SUM(H40:H44)</f>
        <v/>
      </c>
      <c r="I45" s="15" t="n"/>
      <c r="J45" s="15" t="n"/>
      <c r="K45" s="16">
        <f>SUM(K40:K44)</f>
        <v/>
      </c>
    </row>
    <row r="47" ht="20" customHeight="1">
      <c r="A47" s="17" t="n"/>
      <c r="B47" s="18" t="inlineStr">
        <is>
          <t>TOTAL CAPEX</t>
        </is>
      </c>
      <c r="C47" s="19" t="n"/>
      <c r="D47" s="19" t="n"/>
      <c r="E47" s="20">
        <f>E11+E20+E27+E38+E45</f>
        <v/>
      </c>
      <c r="F47" s="19" t="n"/>
      <c r="G47" s="19" t="n"/>
      <c r="H47" s="20">
        <f>H11+H20+H27+H38+H45</f>
        <v/>
      </c>
      <c r="I47" s="19" t="n"/>
      <c r="J47" s="19" t="n"/>
      <c r="K47" s="20">
        <f>K11+K20+K27+K38+K45</f>
        <v/>
      </c>
    </row>
    <row r="49">
      <c r="B49" s="7" t="inlineStr">
        <is>
          <t>Equivalente en pesos (según TC de Parámetros)</t>
        </is>
      </c>
      <c r="E49" s="21">
        <f>E47*Parámetros!$B$4</f>
        <v/>
      </c>
      <c r="H49" s="21">
        <f>H47*Parámetros!$B$4</f>
        <v/>
      </c>
      <c r="K49" s="21">
        <f>K47*Parámetros!$B$4</f>
        <v/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1" customWidth="1" min="3" max="3"/>
    <col width="19" customWidth="1" min="4" max="4"/>
    <col width="19" customWidth="1" min="5" max="5"/>
    <col width="50" customWidth="1" min="6" max="6"/>
  </cols>
  <sheetData>
    <row r="1" ht="26" customHeight="1">
      <c r="A1" s="1" t="inlineStr">
        <is>
          <t>OPEX — COSTO RECURRENTE POR EPISODIO</t>
        </is>
      </c>
    </row>
    <row r="3" ht="30" customHeight="1">
      <c r="A3" s="8" t="inlineStr">
        <is>
          <t>Concepto</t>
        </is>
      </c>
      <c r="B3" s="8" t="inlineStr">
        <is>
          <t>USD por episodio</t>
        </is>
      </c>
      <c r="C3" s="8" t="inlineStr">
        <is>
          <t>Episodios</t>
        </is>
      </c>
      <c r="D3" s="8" t="inlineStr">
        <is>
          <t>Total temporada USD</t>
        </is>
      </c>
      <c r="E3" s="8" t="inlineStr">
        <is>
          <t>Total temporada ARS</t>
        </is>
      </c>
      <c r="F3" s="8" t="inlineStr">
        <is>
          <t>Nota</t>
        </is>
      </c>
    </row>
    <row r="4">
      <c r="A4" s="10" t="inlineStr">
        <is>
          <t>Edición y posproducción (freelance)</t>
        </is>
      </c>
      <c r="B4" s="12" t="n">
        <v>150</v>
      </c>
      <c r="C4" s="11">
        <f>Parámetros!$B$7</f>
        <v/>
      </c>
      <c r="D4" s="12">
        <f>B4*C4</f>
        <v/>
      </c>
      <c r="E4" s="22">
        <f>D4*Parámetros!$B$4</f>
        <v/>
      </c>
      <c r="F4" s="23" t="inlineStr">
        <is>
          <t>Video completo + 6 clips. Alternativa interna: §7.6 del documento</t>
        </is>
      </c>
    </row>
    <row r="5">
      <c r="A5" s="10" t="inlineStr">
        <is>
          <t>Transcripción y subtítulos</t>
        </is>
      </c>
      <c r="B5" s="12" t="n">
        <v>15</v>
      </c>
      <c r="C5" s="11">
        <f>Parámetros!$B$7</f>
        <v/>
      </c>
      <c r="D5" s="12">
        <f>B5*C5</f>
        <v/>
      </c>
      <c r="E5" s="22">
        <f>D5*Parámetros!$B$4</f>
        <v/>
      </c>
      <c r="F5" s="23" t="inlineStr">
        <is>
          <t>Subtítulos + texto para la web (SEO)</t>
        </is>
      </c>
    </row>
    <row r="6">
      <c r="A6" s="10" t="inlineStr">
        <is>
          <t>Catering para invitado y equipo</t>
        </is>
      </c>
      <c r="B6" s="12" t="n">
        <v>25</v>
      </c>
      <c r="C6" s="11">
        <f>Parámetros!$B$7</f>
        <v/>
      </c>
      <c r="D6" s="12">
        <f>B6*C6</f>
        <v/>
      </c>
      <c r="E6" s="22">
        <f>D6*Parámetros!$B$4</f>
        <v/>
      </c>
      <c r="F6" s="23" t="inlineStr">
        <is>
          <t>Café, agua, algo para picar</t>
        </is>
      </c>
    </row>
    <row r="7">
      <c r="A7" s="10" t="inlineStr">
        <is>
          <t>Traslado del invitado</t>
        </is>
      </c>
      <c r="B7" s="12" t="n">
        <v>25</v>
      </c>
      <c r="C7" s="11">
        <f>Parámetros!$B$7</f>
        <v/>
      </c>
      <c r="D7" s="12">
        <f>B7*C7</f>
        <v/>
      </c>
      <c r="E7" s="22">
        <f>D7*Parámetros!$B$4</f>
        <v/>
      </c>
      <c r="F7" s="23" t="inlineStr">
        <is>
          <t>Remis ida y vuelta</t>
        </is>
      </c>
    </row>
    <row r="8">
      <c r="A8" s="10" t="inlineStr">
        <is>
          <t>Regalo institucional para el invitado</t>
        </is>
      </c>
      <c r="B8" s="12" t="n">
        <v>30</v>
      </c>
      <c r="C8" s="11">
        <f>Parámetros!$B$7</f>
        <v/>
      </c>
      <c r="D8" s="12">
        <f>B8*C8</f>
        <v/>
      </c>
      <c r="E8" s="22">
        <f>D8*Parámetros!$B$4</f>
        <v/>
      </c>
      <c r="F8" s="23" t="inlineStr">
        <is>
          <t>Libro del Center o merch</t>
        </is>
      </c>
    </row>
    <row r="9">
      <c r="A9" s="10" t="inlineStr">
        <is>
          <t>Hosting de podcast (prorrateado)</t>
        </is>
      </c>
      <c r="B9" s="12" t="n">
        <v>13</v>
      </c>
      <c r="C9" s="11">
        <f>Parámetros!$B$7</f>
        <v/>
      </c>
      <c r="D9" s="12">
        <f>B9*C9</f>
        <v/>
      </c>
      <c r="E9" s="22">
        <f>D9*Parámetros!$B$4</f>
        <v/>
      </c>
      <c r="F9" s="23" t="inlineStr">
        <is>
          <t>USD 20 mensuales / distribución a Spotify, Apple, etc.</t>
        </is>
      </c>
    </row>
    <row r="10">
      <c r="A10" s="18" t="inlineStr">
        <is>
          <t>SUBTOTAL POR EPISODIO (sin pauta)</t>
        </is>
      </c>
      <c r="B10" s="20">
        <f>SUM(B4:B9)</f>
        <v/>
      </c>
      <c r="C10" s="19" t="n"/>
      <c r="D10" s="20">
        <f>SUM(D4:D9)</f>
        <v/>
      </c>
      <c r="E10" s="24">
        <f>D10*Parámetros!$B$4</f>
        <v/>
      </c>
      <c r="F10" s="17" t="n"/>
    </row>
    <row r="12">
      <c r="A12" s="7" t="inlineStr">
        <is>
          <t>OPCIONAL</t>
        </is>
      </c>
    </row>
    <row r="13">
      <c r="A13" s="10" t="inlineStr">
        <is>
          <t>Pauta paga en redes</t>
        </is>
      </c>
      <c r="B13" s="12" t="n">
        <v>100</v>
      </c>
      <c r="C13" s="11">
        <f>Parámetros!$B$12</f>
        <v/>
      </c>
      <c r="D13" s="12">
        <f>B13*C13</f>
        <v/>
      </c>
      <c r="E13" s="22">
        <f>D13*Parámetros!$B$4</f>
        <v/>
      </c>
      <c r="F13" s="23" t="inlineStr">
        <is>
          <t>No pautar los 3 primeros episodios: primero se ve qué funciona orgánicamente</t>
        </is>
      </c>
    </row>
    <row r="15">
      <c r="A15" s="7" t="inlineStr">
        <is>
          <t>COSTOS ÚNICOS NO AMORTIZABLES</t>
        </is>
      </c>
    </row>
    <row r="16">
      <c r="A16" s="10" t="inlineStr">
        <is>
          <t>Registro de marca y dominio</t>
        </is>
      </c>
      <c r="B16" s="25" t="n"/>
      <c r="C16" s="25" t="n"/>
      <c r="D16" s="12" t="n">
        <v>150</v>
      </c>
      <c r="E16" s="22">
        <f>D16*Parámetros!$B$4</f>
        <v/>
      </c>
      <c r="F16" s="23" t="inlineStr">
        <is>
          <t>Nombre del podcast + dominio + redes</t>
        </is>
      </c>
    </row>
    <row r="17">
      <c r="A17" s="10" t="inlineStr">
        <is>
          <t>Licencia de música y biblioteca sonora</t>
        </is>
      </c>
      <c r="B17" s="25" t="n"/>
      <c r="C17" s="25" t="n"/>
      <c r="D17" s="12" t="n">
        <v>120</v>
      </c>
      <c r="E17" s="22">
        <f>D17*Parámetros!$B$4</f>
        <v/>
      </c>
      <c r="F17" s="23" t="inlineStr">
        <is>
          <t>Obligatorio: música sin licencia genera reclamos de copyright que afectan al canal entero</t>
        </is>
      </c>
    </row>
    <row r="18">
      <c r="A18" s="14" t="inlineStr">
        <is>
          <t>Subtotal costos únicos</t>
        </is>
      </c>
      <c r="B18" s="15" t="n"/>
      <c r="C18" s="15" t="n"/>
      <c r="D18" s="16">
        <f>SUM(D16:D17)</f>
        <v/>
      </c>
      <c r="E18" s="26">
        <f>D18*Parámetros!$B$4</f>
        <v/>
      </c>
      <c r="F18" s="13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46" customWidth="1" min="1" max="1"/>
    <col width="15" customWidth="1" min="2" max="2"/>
    <col width="16" customWidth="1" min="3" max="3"/>
    <col width="15" customWidth="1" min="4" max="4"/>
    <col width="20" customWidth="1" min="5" max="5"/>
    <col width="22" customWidth="1" min="6" max="6"/>
  </cols>
  <sheetData>
    <row r="1" ht="26" customHeight="1">
      <c r="A1" s="1" t="inlineStr">
        <is>
          <t>RESUMEN — TEMPORADA 1 (12 EPISODIOS)</t>
        </is>
      </c>
    </row>
    <row r="3" ht="30" customHeight="1">
      <c r="A3" s="8" t="inlineStr">
        <is>
          <t>Concepto</t>
        </is>
      </c>
      <c r="B3" s="8" t="inlineStr">
        <is>
          <t>Austero</t>
        </is>
      </c>
      <c r="C3" s="8" t="inlineStr">
        <is>
          <t>Recomendado</t>
        </is>
      </c>
      <c r="D3" s="8" t="inlineStr">
        <is>
          <t>Premium</t>
        </is>
      </c>
      <c r="E3" s="8" t="inlineStr">
        <is>
          <t>ESCENARIO ELEGIDO</t>
        </is>
      </c>
      <c r="F3" s="8" t="inlineStr">
        <is>
          <t>ARS (escenario elegido)</t>
        </is>
      </c>
    </row>
    <row r="4">
      <c r="A4" s="10" t="inlineStr">
        <is>
          <t>CAPEX — equipamiento y set (activo de UCEMA)</t>
        </is>
      </c>
      <c r="B4" s="12">
        <f>CAPEX!$E$47</f>
        <v/>
      </c>
      <c r="C4" s="12">
        <f>CAPEX!$H$47</f>
        <v/>
      </c>
      <c r="D4" s="12">
        <f>CAPEX!$K$47</f>
        <v/>
      </c>
      <c r="E4" s="12">
        <f>INDEX(B4:D4,MATCH(Parámetros!$B$6,$B$3:$D$3,0))</f>
        <v/>
      </c>
      <c r="F4" s="22">
        <f>E4*Parámetros!$B$4</f>
        <v/>
      </c>
    </row>
    <row r="5">
      <c r="A5" s="10" t="inlineStr">
        <is>
          <t>OPEX — operación de los 12 episodios</t>
        </is>
      </c>
      <c r="B5" s="12">
        <f>OPEX!$D$10</f>
        <v/>
      </c>
      <c r="C5" s="12">
        <f>OPEX!$D$10</f>
        <v/>
      </c>
      <c r="D5" s="12">
        <f>OPEX!$D$10</f>
        <v/>
      </c>
      <c r="E5" s="12">
        <f>INDEX(B5:D5,MATCH(Parámetros!$B$6,$B$3:$D$3,0))</f>
        <v/>
      </c>
      <c r="F5" s="22">
        <f>E5*Parámetros!$B$4</f>
        <v/>
      </c>
    </row>
    <row r="6">
      <c r="A6" s="10" t="inlineStr">
        <is>
          <t>Costos únicos (marca, dominio, música)</t>
        </is>
      </c>
      <c r="B6" s="12">
        <f>OPEX!$D$18</f>
        <v/>
      </c>
      <c r="C6" s="12">
        <f>OPEX!$D$18</f>
        <v/>
      </c>
      <c r="D6" s="12">
        <f>OPEX!$D$18</f>
        <v/>
      </c>
      <c r="E6" s="12">
        <f>INDEX(B6:D6,MATCH(Parámetros!$B$6,$B$3:$D$3,0))</f>
        <v/>
      </c>
      <c r="F6" s="22">
        <f>E6*Parámetros!$B$4</f>
        <v/>
      </c>
    </row>
    <row r="7">
      <c r="A7" s="27" t="inlineStr">
        <is>
          <t>SUBTOTAL</t>
        </is>
      </c>
      <c r="B7" s="28">
        <f>SUM(B4:B6)</f>
        <v/>
      </c>
      <c r="C7" s="28">
        <f>SUM(C4:C6)</f>
        <v/>
      </c>
      <c r="D7" s="28">
        <f>SUM(D4:D6)</f>
        <v/>
      </c>
      <c r="E7" s="28">
        <f>INDEX(B7:D7,MATCH(Parámetros!$B$6,$B$3:$D$3,0))</f>
        <v/>
      </c>
      <c r="F7" s="29">
        <f>E7*Parámetros!$B$4</f>
        <v/>
      </c>
    </row>
    <row r="8">
      <c r="A8" s="10" t="inlineStr">
        <is>
          <t>Contingencia (10%)</t>
        </is>
      </c>
      <c r="B8" s="12">
        <f>B7*Parámetros!$B$11</f>
        <v/>
      </c>
      <c r="C8" s="12">
        <f>C7*Parámetros!$B$11</f>
        <v/>
      </c>
      <c r="D8" s="12">
        <f>D7*Parámetros!$B$11</f>
        <v/>
      </c>
      <c r="E8" s="12">
        <f>INDEX(B8:D8,MATCH(Parámetros!$B$6,$B$3:$D$3,0))</f>
        <v/>
      </c>
      <c r="F8" s="22">
        <f>E8*Parámetros!$B$4</f>
        <v/>
      </c>
    </row>
    <row r="9">
      <c r="A9" s="30" t="inlineStr">
        <is>
          <t>TOTAL SIN PAUTA</t>
        </is>
      </c>
      <c r="B9" s="31">
        <f>B7+B8</f>
        <v/>
      </c>
      <c r="C9" s="31">
        <f>C7+C8</f>
        <v/>
      </c>
      <c r="D9" s="31">
        <f>D7+D8</f>
        <v/>
      </c>
      <c r="E9" s="28">
        <f>INDEX(B9:D9,MATCH(Parámetros!$B$6,$B$3:$D$3,0))</f>
        <v/>
      </c>
      <c r="F9" s="29">
        <f>E9*Parámetros!$B$4</f>
        <v/>
      </c>
    </row>
    <row r="10">
      <c r="A10" s="10" t="inlineStr">
        <is>
          <t>Pauta paga (6 de 12 episodios, +contingencia)</t>
        </is>
      </c>
      <c r="B10" s="12">
        <f>OPEX!$D$13*(1+Parámetros!$B$11)</f>
        <v/>
      </c>
      <c r="C10" s="12">
        <f>OPEX!$D$13*(1+Parámetros!$B$11)</f>
        <v/>
      </c>
      <c r="D10" s="12">
        <f>OPEX!$D$13*(1+Parámetros!$B$11)</f>
        <v/>
      </c>
      <c r="E10" s="12">
        <f>INDEX(B10:D10,MATCH(Parámetros!$B$6,$B$3:$D$3,0))</f>
        <v/>
      </c>
      <c r="F10" s="22">
        <f>E10*Parámetros!$B$4</f>
        <v/>
      </c>
    </row>
    <row r="11" ht="22" customHeight="1">
      <c r="A11" s="32" t="inlineStr">
        <is>
          <t>TOTAL A SOLICITAR</t>
        </is>
      </c>
      <c r="B11" s="33">
        <f>B9+B10</f>
        <v/>
      </c>
      <c r="C11" s="33">
        <f>C9+C10</f>
        <v/>
      </c>
      <c r="D11" s="33">
        <f>D9+D10</f>
        <v/>
      </c>
      <c r="E11" s="34">
        <f>INDEX(B11:D11,MATCH(Parámetros!$B$6,$B$3:$D$3,0))</f>
        <v/>
      </c>
      <c r="F11" s="35">
        <f>E11*Parámetros!$B$4</f>
        <v/>
      </c>
    </row>
    <row r="14">
      <c r="A14" s="36" t="inlineStr">
        <is>
          <t>INDICADORES DE EFICIENCIA</t>
        </is>
      </c>
    </row>
    <row r="15" ht="30" customHeight="1">
      <c r="A15" s="8" t="inlineStr">
        <is>
          <t>Indicador</t>
        </is>
      </c>
      <c r="B15" s="8" t="inlineStr">
        <is>
          <t>Valor USD</t>
        </is>
      </c>
      <c r="C15" s="8" t="inlineStr"/>
      <c r="D15" s="8" t="inlineStr"/>
      <c r="E15" s="8" t="inlineStr"/>
      <c r="F15" s="8" t="inlineStr">
        <is>
          <t>Nota</t>
        </is>
      </c>
    </row>
    <row r="16">
      <c r="A16" s="10" t="inlineStr">
        <is>
          <t>Costo total por episodio (Temporada 1, CAPEX incluido)</t>
        </is>
      </c>
      <c r="B16" s="37">
        <f>E11/Parámetros!$B$7</f>
        <v/>
      </c>
      <c r="C16" s="38" t="n"/>
      <c r="D16" s="38" t="n"/>
      <c r="E16" s="38" t="n"/>
      <c r="F16" s="23" t="inlineStr">
        <is>
          <t>Incluye la inversión de única vez</t>
        </is>
      </c>
    </row>
    <row r="17">
      <c r="A17" s="10" t="inlineStr">
        <is>
          <t>Costo por episodio a partir de la Temporada 2</t>
        </is>
      </c>
      <c r="B17" s="37">
        <f>OPEX!$D$10/Parámetros!$B$7</f>
        <v/>
      </c>
      <c r="C17" s="38" t="n"/>
      <c r="D17" s="38" t="n"/>
      <c r="E17" s="38" t="n"/>
      <c r="F17" s="23" t="inlineStr">
        <is>
          <t>Sin CAPEX: es el costo real recurrente</t>
        </is>
      </c>
    </row>
    <row r="18">
      <c r="A18" s="10" t="inlineStr">
        <is>
          <t>Costo por hora de contenido (1 h por episodio)</t>
        </is>
      </c>
      <c r="B18" s="37">
        <f>E11/Parámetros!$B$7</f>
        <v/>
      </c>
      <c r="C18" s="38" t="n"/>
      <c r="D18" s="38" t="n"/>
      <c r="E18" s="38" t="n"/>
      <c r="F18" s="23" t="inlineStr">
        <is>
          <t>Episodios de 45 a 60 minutos</t>
        </is>
      </c>
    </row>
    <row r="19">
      <c r="A19" s="10" t="inlineStr">
        <is>
          <t>Costo por contacto nuevo en la base (meta: 600)</t>
        </is>
      </c>
      <c r="B19" s="37">
        <f>E11/600</f>
        <v/>
      </c>
      <c r="C19" s="38" t="n"/>
      <c r="D19" s="38" t="n"/>
      <c r="E19" s="38" t="n"/>
      <c r="F19" s="23" t="inlineStr">
        <is>
          <t>Objetivo O3</t>
        </is>
      </c>
    </row>
    <row r="20">
      <c r="A20" s="10" t="inlineStr">
        <is>
          <t>Costo por pieza de contenido publicada (108 piezas)</t>
        </is>
      </c>
      <c r="B20" s="37">
        <f>E11/108</f>
        <v/>
      </c>
      <c r="C20" s="38" t="n"/>
      <c r="D20" s="38" t="n"/>
      <c r="E20" s="38" t="n"/>
      <c r="F20" s="23" t="inlineStr">
        <is>
          <t>12 videos + 12 audios + 72 clips + 12 newsletters</t>
        </is>
      </c>
    </row>
    <row r="23">
      <c r="A23" s="36" t="inlineStr">
        <is>
          <t>ESQUEMA DE FINANCIAMIENTO PROPUESTO</t>
        </is>
      </c>
    </row>
    <row r="24" ht="30" customHeight="1">
      <c r="A24" s="8" t="inlineStr">
        <is>
          <t>Fuente</t>
        </is>
      </c>
      <c r="B24" s="8" t="inlineStr">
        <is>
          <t>Monto USD</t>
        </is>
      </c>
      <c r="C24" s="8" t="inlineStr">
        <is>
          <t>% del total</t>
        </is>
      </c>
      <c r="D24" s="8" t="inlineStr"/>
      <c r="E24" s="8" t="inlineStr"/>
      <c r="F24" s="8" t="inlineStr">
        <is>
          <t>Contraprestación</t>
        </is>
      </c>
    </row>
    <row r="25">
      <c r="A25" s="39" t="inlineStr">
        <is>
          <t>Sponsor principal de temporada</t>
        </is>
      </c>
      <c r="B25" s="40" t="n">
        <v>9000</v>
      </c>
      <c r="C25" s="41">
        <f>B25/SUM($B$25:$B$28)</f>
        <v/>
      </c>
      <c r="D25" s="42" t="n"/>
      <c r="E25" s="42" t="n"/>
      <c r="F25" s="43" t="n"/>
    </row>
    <row r="26">
      <c r="A26" s="39" t="inlineStr">
        <is>
          <t>Sponsor de apoyo 1</t>
        </is>
      </c>
      <c r="B26" s="40" t="n">
        <v>2000</v>
      </c>
      <c r="C26" s="41">
        <f>B26/SUM($B$25:$B$28)</f>
        <v/>
      </c>
      <c r="D26" s="42" t="n"/>
      <c r="E26" s="42" t="n"/>
      <c r="F26" s="43" t="n"/>
    </row>
    <row r="27">
      <c r="A27" s="39" t="inlineStr">
        <is>
          <t>Sponsor de apoyo 2</t>
        </is>
      </c>
      <c r="B27" s="40" t="n">
        <v>2000</v>
      </c>
      <c r="C27" s="41">
        <f>B27/SUM($B$25:$B$28)</f>
        <v/>
      </c>
      <c r="D27" s="42" t="n"/>
      <c r="E27" s="42" t="n"/>
      <c r="F27" s="43" t="n"/>
    </row>
    <row r="28">
      <c r="A28" s="39" t="inlineStr">
        <is>
          <t>Aporte del FHC</t>
        </is>
      </c>
      <c r="B28" s="40" t="n">
        <v>1300</v>
      </c>
      <c r="C28" s="41">
        <f>B28/SUM($B$25:$B$28)</f>
        <v/>
      </c>
      <c r="D28" s="42" t="n"/>
      <c r="E28" s="42" t="n"/>
      <c r="F28" s="43" t="n"/>
    </row>
    <row r="29">
      <c r="A29" s="44" t="inlineStr">
        <is>
          <t>TOTAL FINANCIADO</t>
        </is>
      </c>
      <c r="B29" s="45">
        <f>SUM(B25:B28)</f>
        <v/>
      </c>
      <c r="C29" s="46" t="n">
        <v>1</v>
      </c>
      <c r="D29" s="47" t="n"/>
      <c r="E29" s="47" t="n"/>
      <c r="F29" s="48" t="n"/>
    </row>
    <row r="31">
      <c r="A31" s="49" t="inlineStr">
        <is>
          <t>Independencia editorial: ningún sponsor tiene injerencia sobre el contenido, la selección de invitados ni la edición.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46" customWidth="1" min="4" max="4"/>
    <col width="54" customWidth="1" min="5" max="5"/>
    <col width="24" customWidth="1" min="6" max="6"/>
  </cols>
  <sheetData>
    <row r="1" ht="26" customHeight="1">
      <c r="A1" s="1" t="inlineStr">
        <is>
          <t>CRONOGRAMA TEMPORADA 1 — UNA PUBLICACIÓN CADA 20 DÍAS</t>
        </is>
      </c>
    </row>
    <row r="3" ht="30" customHeight="1">
      <c r="A3" s="8" t="inlineStr">
        <is>
          <t>Ep.</t>
        </is>
      </c>
      <c r="B3" s="8" t="inlineStr">
        <is>
          <t>Grabación</t>
        </is>
      </c>
      <c r="C3" s="8" t="inlineStr">
        <is>
          <t>Publicación</t>
        </is>
      </c>
      <c r="D3" s="8" t="inlineStr">
        <is>
          <t>Tema</t>
        </is>
      </c>
      <c r="E3" s="8" t="inlineStr">
        <is>
          <t>Perfil target del invitado</t>
        </is>
      </c>
      <c r="F3" s="8" t="inlineStr">
        <is>
          <t>Audiencia primaria</t>
        </is>
      </c>
    </row>
    <row r="4" ht="32" customHeight="1">
      <c r="A4" s="50" t="inlineStr">
        <is>
          <t>E01</t>
        </is>
      </c>
      <c r="B4" s="51" t="inlineStr">
        <is>
          <t>Jue 22/10/26</t>
        </is>
      </c>
      <c r="C4" s="51" t="inlineStr">
        <is>
          <t>Jue 05/11/26</t>
        </is>
      </c>
      <c r="D4" s="52" t="inlineStr">
        <is>
          <t>Por qué la economía no es lo que te contaron</t>
        </is>
      </c>
      <c r="E4" s="52" t="inlineStr">
        <is>
          <t>Economista jefe de consultora o think tank, con oficio en medios. Alguien que explica bien, no necesariamente el más citado</t>
        </is>
      </c>
      <c r="F4" s="52" t="inlineStr">
        <is>
          <t>Estudiantes</t>
        </is>
      </c>
    </row>
    <row r="5" ht="32" customHeight="1">
      <c r="A5" s="53" t="inlineStr">
        <is>
          <t>E02</t>
        </is>
      </c>
      <c r="B5" s="54" t="inlineStr">
        <is>
          <t>Jue 12/11/26</t>
        </is>
      </c>
      <c r="C5" s="54" t="inlineStr">
        <is>
          <t>Mié 25/11/26</t>
        </is>
      </c>
      <c r="D5" s="55" t="inlineStr">
        <is>
          <t>Emprender donde todo cambia</t>
        </is>
      </c>
      <c r="E5" s="55" t="inlineStr">
        <is>
          <t>Fundador/a de PyME o scale-up argentina, 5 a 15 años de trayectoria, que haya atravesado al menos una crisis</t>
        </is>
      </c>
      <c r="F5" s="55" t="inlineStr">
        <is>
          <t>Alumni y profesionales</t>
        </is>
      </c>
    </row>
    <row r="6" ht="32" customHeight="1">
      <c r="A6" s="50" t="inlineStr">
        <is>
          <t>E03</t>
        </is>
      </c>
      <c r="B6" s="51" t="inlineStr">
        <is>
          <t>Mié 02/12/26</t>
        </is>
      </c>
      <c r="C6" s="51" t="inlineStr">
        <is>
          <t>Mar 15/12/26</t>
        </is>
      </c>
      <c r="D6" s="52" t="inlineStr">
        <is>
          <t>La ley como límite al poder</t>
        </is>
      </c>
      <c r="E6" s="52" t="inlineStr">
        <is>
          <t>Constitucionalista, juez o profesor de Derecho Público. Que hable claro, no en latín</t>
        </is>
      </c>
      <c r="F6" s="52" t="inlineStr">
        <is>
          <t>Estudiantes de Derecho</t>
        </is>
      </c>
    </row>
    <row r="7" ht="32" customHeight="1">
      <c r="A7" s="53" t="inlineStr">
        <is>
          <t>E04</t>
        </is>
      </c>
      <c r="B7" s="54" t="inlineStr">
        <is>
          <t>Jue 17/12/26 (AM)</t>
        </is>
      </c>
      <c r="C7" s="54" t="inlineStr">
        <is>
          <t>Lun 04/01/27</t>
        </is>
      </c>
      <c r="D7" s="55" t="inlineStr">
        <is>
          <t>De dónde venimos: historia de las ideas de la libertad en Argentina</t>
        </is>
      </c>
      <c r="E7" s="55" t="inlineStr">
        <is>
          <t>Historiador/a de las ideas o investigador académico con libro publicado</t>
        </is>
      </c>
      <c r="F7" s="55" t="inlineStr">
        <is>
          <t>Comunidad de ideas</t>
        </is>
      </c>
    </row>
    <row r="8" ht="32" customHeight="1">
      <c r="A8" s="50" t="inlineStr">
        <is>
          <t>E05</t>
        </is>
      </c>
      <c r="B8" s="51" t="inlineStr">
        <is>
          <t>Jue 17/12/26 (PM)</t>
        </is>
      </c>
      <c r="C8" s="51" t="inlineStr">
        <is>
          <t>Lun 25/01/27</t>
        </is>
      </c>
      <c r="D8" s="52" t="inlineStr">
        <is>
          <t>Qué hacer con lo que ganás: ahorro e inversión</t>
        </is>
      </c>
      <c r="E8" s="52" t="inlineStr">
        <is>
          <t>Portfolio manager, analista de research o fundador de fintech de inversión</t>
        </is>
      </c>
      <c r="F8" s="52" t="inlineStr">
        <is>
          <t>Alumni y profesionales</t>
        </is>
      </c>
    </row>
    <row r="9" ht="32" customHeight="1">
      <c r="A9" s="53" t="inlineStr">
        <is>
          <t>E06</t>
        </is>
      </c>
      <c r="B9" s="54" t="inlineStr">
        <is>
          <t>Mié 03/02/27</t>
        </is>
      </c>
      <c r="C9" s="54" t="inlineStr">
        <is>
          <t>Lun 15/02/27</t>
        </is>
      </c>
      <c r="D9" s="55" t="inlineStr">
        <is>
          <t>Decir lo que no conviene: libertad de expresión y prensa</t>
        </is>
      </c>
      <c r="E9" s="55" t="inlineStr">
        <is>
          <t>Periodista, editor o director de medio. Preferentemente alguien que haya pagado un costo por publicar algo</t>
        </is>
      </c>
      <c r="F9" s="55" t="inlineStr">
        <is>
          <t>Terciaria y prensa</t>
        </is>
      </c>
    </row>
    <row r="10" ht="32" customHeight="1">
      <c r="A10" s="50" t="inlineStr">
        <is>
          <t>E07</t>
        </is>
      </c>
      <c r="B10" s="51" t="inlineStr">
        <is>
          <t>Mié 24/02/27</t>
        </is>
      </c>
      <c r="C10" s="51" t="inlineStr">
        <is>
          <t>Vie 05/03/27</t>
        </is>
      </c>
      <c r="D10" s="52" t="inlineStr">
        <is>
          <t>Poder sin permiso: tecnología, cripto y descentralización</t>
        </is>
      </c>
      <c r="E10" s="52" t="inlineStr">
        <is>
          <t>Founder o CTO del ecosistema cripto/fintech regional</t>
        </is>
      </c>
      <c r="F10" s="52" t="inlineStr">
        <is>
          <t>Estudiantes y terciaria</t>
        </is>
      </c>
    </row>
    <row r="11" ht="32" customHeight="1">
      <c r="A11" s="53" t="inlineStr">
        <is>
          <t>E08</t>
        </is>
      </c>
      <c r="B11" s="54" t="inlineStr">
        <is>
          <t>Mié 17/03/27</t>
        </is>
      </c>
      <c r="C11" s="54" t="inlineStr">
        <is>
          <t>Mar 30/03/27</t>
        </is>
      </c>
      <c r="D11" s="55" t="inlineStr">
        <is>
          <t>Reformar el Estado desde adentro</t>
        </is>
      </c>
      <c r="E11" s="55" t="inlineStr">
        <is>
          <t>Ex funcionario técnico o cuadro de gestión pública, nacional o provincial</t>
        </is>
      </c>
      <c r="F11" s="55" t="inlineStr">
        <is>
          <t>Alumni e institucional</t>
        </is>
      </c>
    </row>
    <row r="12" ht="32" customHeight="1">
      <c r="A12" s="50" t="inlineStr">
        <is>
          <t>E09</t>
        </is>
      </c>
      <c r="B12" s="51" t="inlineStr">
        <is>
          <t>Jue 01/04/27</t>
        </is>
      </c>
      <c r="C12" s="51" t="inlineStr">
        <is>
          <t>Mié 14/04/27</t>
        </is>
      </c>
      <c r="D12" s="52" t="inlineStr">
        <is>
          <t>Aprender de otra manera: educación, competencia y elección</t>
        </is>
      </c>
      <c r="E12" s="52" t="inlineStr">
        <is>
          <t>Director/a de colegio o universidad con modelo alternativo, o fundador de edtech</t>
        </is>
      </c>
      <c r="F12" s="52" t="inlineStr">
        <is>
          <t>Estudiantes y docentes</t>
        </is>
      </c>
    </row>
    <row r="13" ht="32" customHeight="1">
      <c r="A13" s="53" t="inlineStr">
        <is>
          <t>E10</t>
        </is>
      </c>
      <c r="B13" s="54" t="inlineStr">
        <is>
          <t>Mié 21/04/27</t>
        </is>
      </c>
      <c r="C13" s="54" t="inlineStr">
        <is>
          <t>Mar 04/05/27</t>
        </is>
      </c>
      <c r="D13" s="55" t="inlineStr">
        <is>
          <t>La objeción: las críticas más serias al liberalismo</t>
        </is>
      </c>
      <c r="E13" s="55" t="inlineStr">
        <is>
          <t>Filósofo político o académico QUE NO SE IDENTIFIQUE COMO LIBERAL. Episodio deliberadamente incómodo</t>
        </is>
      </c>
      <c r="F13" s="55" t="inlineStr">
        <is>
          <t>Comunidad de ideas</t>
        </is>
      </c>
    </row>
    <row r="14" ht="32" customHeight="1">
      <c r="A14" s="50" t="inlineStr">
        <is>
          <t>E11</t>
        </is>
      </c>
      <c r="B14" s="51" t="inlineStr">
        <is>
          <t>Mié 12/05/27</t>
        </is>
      </c>
      <c r="C14" s="51" t="inlineStr">
        <is>
          <t>Lun 24/05/27</t>
        </is>
      </c>
      <c r="D14" s="52" t="inlineStr">
        <is>
          <t>El país que exporta: agro, comercio internacional y apertura</t>
        </is>
      </c>
      <c r="E14" s="52" t="inlineStr">
        <is>
          <t>Empresario agroexportador o especialista en comercio exterior</t>
        </is>
      </c>
      <c r="F14" s="52" t="inlineStr">
        <is>
          <t>Alumni y terciaria</t>
        </is>
      </c>
    </row>
    <row r="15" ht="32" customHeight="1">
      <c r="A15" s="53" t="inlineStr">
        <is>
          <t>E12</t>
        </is>
      </c>
      <c r="B15" s="54" t="inlineStr">
        <is>
          <t>Mié 02/06/27</t>
        </is>
      </c>
      <c r="C15" s="54" t="inlineStr">
        <is>
          <t>Lun 14/06/27</t>
        </is>
      </c>
      <c r="D15" s="55" t="inlineStr">
        <is>
          <t>Los que vienen: la generación que recién empieza</t>
        </is>
      </c>
      <c r="E15" s="55" t="inlineStr">
        <is>
          <t>Alumni joven del FHC (menos de 30), emprendedor o líder estudiantil</t>
        </is>
      </c>
      <c r="F15" s="55" t="inlineStr">
        <is>
          <t>Estudiantes</t>
        </is>
      </c>
    </row>
    <row r="17">
      <c r="A17" s="7" t="inlineStr">
        <is>
          <t>•</t>
        </is>
      </c>
      <c r="B17" s="4" t="inlineStr">
        <is>
          <t>La cadencia de 20 días se aplica sobre la fecha de PUBLICACIÓN. La grabación va entre 9 y 13 días antes, siempre martes, miércoles o jueves.</t>
        </is>
      </c>
    </row>
    <row r="18">
      <c r="A18" s="7" t="inlineStr">
        <is>
          <t>•</t>
        </is>
      </c>
      <c r="B18" s="4" t="inlineStr">
        <is>
          <t>Si la publicación cae sábado o domingo, se corre al lunes siguiente.</t>
        </is>
      </c>
    </row>
    <row r="19">
      <c r="A19" s="7" t="inlineStr">
        <is>
          <t>•</t>
        </is>
      </c>
      <c r="B19" s="4" t="inlineStr">
        <is>
          <t>Las grabaciones de los episodios de enero se adelantan a una jornada doble el 17/12/2026, para no pedirle a nadie que venga en pleno receso.</t>
        </is>
      </c>
    </row>
    <row r="20">
      <c r="A20" s="7" t="inlineStr">
        <is>
          <t>•</t>
        </is>
      </c>
      <c r="B20" s="4" t="inlineStr">
        <is>
          <t>E02 se publica el 25/11, un día antes de las Jornadas Adam Smith (26/11): sirve de antesala. No hay grabación esa semana.</t>
        </is>
      </c>
    </row>
    <row r="21">
      <c r="A21" s="7" t="inlineStr">
        <is>
          <t>•</t>
        </is>
      </c>
      <c r="B21" s="4" t="inlineStr">
        <is>
          <t>PENDIENTE: validar feriados 2027 contra el calendario oficial. Revisar E06 (Carnaval), E08 (Semana Santa) y E11 (25 de mayo).</t>
        </is>
      </c>
    </row>
    <row r="22">
      <c r="A22" s="7" t="inlineStr">
        <is>
          <t>•</t>
        </is>
      </c>
      <c r="B22" s="4" t="inlineStr">
        <is>
          <t>Oportunidad: los expositores del Ayn Rand Center (29/10) y de las Jornadas Adam Smith (26/11) ya vienen a la universidad. Grabar el mismo día elimina el costo de traerlos.</t>
        </is>
      </c>
    </row>
  </sheetData>
  <mergeCells count="7">
    <mergeCell ref="B21:F21"/>
    <mergeCell ref="B20:F20"/>
    <mergeCell ref="A1:F1"/>
    <mergeCell ref="B19:F19"/>
    <mergeCell ref="B22:F22"/>
    <mergeCell ref="B17:F17"/>
    <mergeCell ref="B18:F1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8" customWidth="1" min="3" max="3"/>
    <col width="18" customWidth="1" min="4" max="4"/>
    <col width="62" customWidth="1" min="5" max="5"/>
  </cols>
  <sheetData>
    <row r="1" ht="26" customHeight="1">
      <c r="A1" s="1" t="inlineStr">
        <is>
          <t>HORAS INTERNAS — NO IMPLICA DESEMBOLSO, PERO ES EL RECURSO MÁS ESCASO</t>
        </is>
      </c>
    </row>
    <row r="3" ht="30" customHeight="1">
      <c r="A3" s="8" t="inlineStr">
        <is>
          <t>Rol</t>
        </is>
      </c>
      <c r="B3" s="8" t="inlineStr">
        <is>
          <t>Persona</t>
        </is>
      </c>
      <c r="C3" s="8" t="inlineStr">
        <is>
          <t>Horas por episodio</t>
        </is>
      </c>
      <c r="D3" s="8" t="inlineStr">
        <is>
          <t>Horas temporada</t>
        </is>
      </c>
      <c r="E3" s="8" t="inlineStr">
        <is>
          <t>Detalle</t>
        </is>
      </c>
    </row>
    <row r="4" ht="30" customHeight="1">
      <c r="A4" s="39" t="inlineStr">
        <is>
          <t>Coordinación editorial y contacto con invitados</t>
        </is>
      </c>
      <c r="B4" s="54" t="inlineStr">
        <is>
          <t>Frank</t>
        </is>
      </c>
      <c r="C4" s="54" t="n">
        <v>4</v>
      </c>
      <c r="D4" s="54">
        <f>C4*Parámetros!$B$7</f>
        <v/>
      </c>
      <c r="E4" s="56" t="inlineStr">
        <is>
          <t>Selección de temas, invitación, investigación previa, guion, revisión del corte</t>
        </is>
      </c>
    </row>
    <row r="5" ht="30" customHeight="1">
      <c r="A5" s="39" t="inlineStr">
        <is>
          <t>Diseño, clips y difusión</t>
        </is>
      </c>
      <c r="B5" s="54" t="inlineStr">
        <is>
          <t>Paz</t>
        </is>
      </c>
      <c r="C5" s="54" t="n">
        <v>6</v>
      </c>
      <c r="D5" s="54">
        <f>C5*Parámetros!$B$7</f>
        <v/>
      </c>
      <c r="E5" s="56" t="inlineStr">
        <is>
          <t>Portada en Canva, 5 a 7 clips verticales, carrusel de citas, publicación en redes</t>
        </is>
      </c>
    </row>
    <row r="6" ht="30" customHeight="1">
      <c r="A6" s="39" t="inlineStr">
        <is>
          <t>Logística, grabación y publicación</t>
        </is>
      </c>
      <c r="B6" s="54" t="inlineStr">
        <is>
          <t>Matías</t>
        </is>
      </c>
      <c r="C6" s="54" t="n">
        <v>7</v>
      </c>
      <c r="D6" s="54">
        <f>C6*Parámetros!$B$7</f>
        <v/>
      </c>
      <c r="E6" s="56" t="inlineStr">
        <is>
          <t>Aula, lista de seguridad, catering, armado del set, grabación, respaldo, subida a YouTube, métricas</t>
        </is>
      </c>
    </row>
    <row r="7" ht="30" customHeight="1">
      <c r="A7" s="39" t="inlineStr">
        <is>
          <t>Web, formularios y envíos</t>
        </is>
      </c>
      <c r="B7" s="54" t="inlineStr">
        <is>
          <t>Martina</t>
        </is>
      </c>
      <c r="C7" s="54" t="n">
        <v>3</v>
      </c>
      <c r="D7" s="54">
        <f>C7*Parámetros!$B$7</f>
        <v/>
      </c>
      <c r="E7" s="56" t="inlineStr">
        <is>
          <t>Transcripción, publicación en la web, envío en Perfit, carga en la Base Maestra</t>
        </is>
      </c>
    </row>
    <row r="8">
      <c r="A8" s="18" t="inlineStr">
        <is>
          <t>TOTAL</t>
        </is>
      </c>
      <c r="B8" s="19" t="n"/>
      <c r="C8" s="57">
        <f>SUM(C4:C7)</f>
        <v/>
      </c>
      <c r="D8" s="57">
        <f>SUM(D4:D7)</f>
        <v/>
      </c>
      <c r="E8" s="17" t="n"/>
    </row>
    <row r="10">
      <c r="A10" s="4" t="inlineStr">
        <is>
          <t>240 horas en ocho meses ≈ 7 horas semanales repartidas entre cuatro personas. Es sostenible, pero solo si el proyecto entra en Asana con la misma disciplina que el resto de las actividades.</t>
        </is>
      </c>
    </row>
  </sheetData>
  <mergeCells count="2">
    <mergeCell ref="A1:E1"/>
    <mergeCell ref="A10:E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2026-09-17T11:38:37Z</dcterms:created>
  <dcterms:modified xsi:type="dcterms:W3CDTF">2026-09-17T11:38:37Z</dcterms:modified>
</cp:coreProperties>
</file>